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vscs\Downloads\"/>
    </mc:Choice>
  </mc:AlternateContent>
  <xr:revisionPtr revIDLastSave="0" documentId="13_ncr:1_{474E1A35-B611-482B-A642-8C14EBFAF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C2" i="3" s="1"/>
  <c r="F2" i="1"/>
  <c r="B2" i="3" s="1"/>
  <c r="D2" i="2"/>
  <c r="C3" i="3"/>
  <c r="B3" i="3"/>
  <c r="G3" i="1"/>
  <c r="F3" i="1"/>
</calcChain>
</file>

<file path=xl/sharedStrings.xml><?xml version="1.0" encoding="utf-8"?>
<sst xmlns="http://schemas.openxmlformats.org/spreadsheetml/2006/main" count="28" uniqueCount="23">
  <si>
    <t>ticket_id</t>
  </si>
  <si>
    <t>created_at</t>
  </si>
  <si>
    <t>closed_at</t>
  </si>
  <si>
    <t>outlet_id</t>
  </si>
  <si>
    <t>cms_id</t>
  </si>
  <si>
    <t>same_day?</t>
  </si>
  <si>
    <t>same_hour?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</si>
  <si>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</si>
  <si>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</si>
  <si>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</si>
  <si>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</si>
  <si>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</si>
  <si>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</si>
  <si>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</si>
  <si>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</si>
  <si>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</si>
  <si>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cms-unknown</t>
  </si>
  <si>
    <t>feedback_at</t>
  </si>
  <si>
    <t>feedback_rating</t>
  </si>
  <si>
    <t>ticket_created_at</t>
  </si>
  <si>
    <t>2021-08-21 13:26:48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</si>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</sst>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5" x14ac:dyDescent="0.25"/>
  <cols>
    <col min="1" max="1" width="12.42578125" customWidth="1"/>
    <col min="2" max="2" width="13.5703125" customWidth="1"/>
    <col min="3" max="3" width="12.28515625" customWidth="1"/>
    <col min="4" max="5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tr">
        <f>IF(INT(B2)=INT(C2),"YES","NO")</f>
        <v>NO</v>
      </c>
      <c r="G2" t="str">
        <f>IF(AND(INT(B2)=INT(C2), HOUR(B2)=HOUR(C2)), "YES","NO")</f>
        <v>NO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tr">
        <f>IF(INT(B3)=INT(C3), "YES", "NO")</f>
        <v>YES</v>
      </c>
      <c r="G3" t="str">
        <f>IF(AND(INT(B3)=INT(C3), HOUR(B3)=HOUR(C3)), "YES", "NO")</f>
        <v>NO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2" sqref="D2"/>
    </sheetView>
  </sheetViews>
  <sheetFormatPr defaultRowHeight="15" x14ac:dyDescent="0.25"/>
  <cols>
    <col min="4" max="4" width="18.28515625" customWidth="1"/>
  </cols>
  <sheetData>
    <row r="1" spans="1:4" x14ac:dyDescent="0.25">
      <c r="A1" t="s">
        <v>4</v>
      </c>
      <c r="B1" t="s">
        <v>17</v>
      </c>
      <c r="C1" t="s">
        <v>18</v>
      </c>
      <c r="D1" t="s">
        <v>19</v>
      </c>
    </row>
    <row r="2" spans="1:4" x14ac:dyDescent="0.25">
      <c r="A2" t="s">
        <v>11</v>
      </c>
      <c r="B2" t="s">
        <v>20</v>
      </c>
      <c r="C2">
        <v>3</v>
      </c>
      <c r="D2" t="str">
        <f>INDEX(ticket!$B:$B, MATCH(A2, ticket!$E:$E, 0))</f>
        <v>2021-08-19 16:45:43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t="s">
        <v>3</v>
      </c>
      <c r="B1" t="s">
        <v>21</v>
      </c>
      <c r="C1" t="s">
        <v>22</v>
      </c>
    </row>
    <row r="2" spans="1:3" x14ac:dyDescent="0.25">
      <c r="A2" t="s">
        <v>10</v>
      </c>
      <c r="B2">
        <f>COUNTIFS(ticket!$D:$D, A2, ticket!$F:$F, "YES")</f>
        <v>0</v>
      </c>
      <c r="C2">
        <f>COUNTIFS(ticket!$D:$D, A2, ticket!$G:$G, "YES")</f>
        <v>0</v>
      </c>
    </row>
    <row r="3" spans="1:3" x14ac:dyDescent="0.25">
      <c r="A3" t="s">
        <v>15</v>
      </c>
      <c r="B3">
        <f>COUNTIFS(ticket!$D:$D, A3, ticket!$F:$F, "YES")</f>
        <v>1</v>
      </c>
      <c r="C3">
        <f>COUNTIFS(ticket!$D:$D, A3, ticket!$G:$G, "YES")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tvs csk</cp:lastModifiedBy>
  <dcterms:created xsi:type="dcterms:W3CDTF">2025-12-02T13:57:48Z</dcterms:created>
  <dcterms:modified xsi:type="dcterms:W3CDTF">2025-12-02T14:18:10Z</dcterms:modified>
</cp:coreProperties>
</file>